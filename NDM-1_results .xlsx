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96857A0E-6EE9-40E0-8873-50E17565BC43}" xr6:coauthVersionLast="47" xr6:coauthVersionMax="47" xr10:uidLastSave="{00000000-0000-0000-0000-000000000000}"/>
  <bookViews>
    <workbookView xWindow="-108" yWindow="-108" windowWidth="23256" windowHeight="12456" xr2:uid="{44E64418-4EDC-4754-B765-66D04F993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O2" i="1"/>
  <c r="O3" i="1"/>
  <c r="O4" i="1"/>
  <c r="P5" i="1"/>
  <c r="P3" i="1"/>
  <c r="P2" i="1"/>
  <c r="O5" i="1"/>
  <c r="C6" i="1"/>
  <c r="D6" i="1"/>
  <c r="E6" i="1"/>
  <c r="E7" i="1" l="1"/>
  <c r="D7" i="1"/>
  <c r="C7" i="1"/>
  <c r="B7" i="1"/>
  <c r="B6" i="1"/>
</calcChain>
</file>

<file path=xl/sharedStrings.xml><?xml version="1.0" encoding="utf-8"?>
<sst xmlns="http://schemas.openxmlformats.org/spreadsheetml/2006/main" count="58" uniqueCount="32">
  <si>
    <t>Pose</t>
  </si>
  <si>
    <t>Experimental Ligand</t>
  </si>
  <si>
    <t>Mean</t>
  </si>
  <si>
    <t>SD</t>
  </si>
  <si>
    <t xml:space="preserve"> </t>
  </si>
  <si>
    <t>t-Test: Two-Sample Assuming Unequal Variances</t>
  </si>
  <si>
    <t>Variable 1</t>
  </si>
  <si>
    <t>Variable 2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</si>
  <si>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</si>
  <si>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</si>
  <si>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</si>
  <si>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</si>
  <si>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</si>
  <si>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</si>
  <si>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</si>
  <si>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</si>
  <si>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</si>
  <si>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 Positive Control  1</t>
  </si>
  <si>
    <t>Positive Control 2</t>
  </si>
  <si>
    <t>: SD</t>
  </si>
  <si>
    <t xml:space="preserve">Group </t>
  </si>
  <si>
    <t>Comparison</t>
  </si>
  <si>
    <t>p-value</t>
  </si>
  <si>
    <t>Exp vs PC1</t>
  </si>
  <si>
    <t>Exp vs PC2</t>
  </si>
  <si>
    <t>Exp vs PC3</t>
  </si>
  <si>
    <t>Significance</t>
  </si>
  <si>
    <t>Highly</t>
  </si>
  <si>
    <t>Extremely significant</t>
  </si>
  <si>
    <t>z</t>
  </si>
  <si>
    <t>positive control 3</t>
  </si>
  <si>
    <t xml:space="preserve"> Experimental 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</si>
</sst>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Sheet1!$P$2:$P$5</c:f>
                <c:numCache>
                  <c:formatCode>General</c:formatCode>
                  <c:ptCount val="4"/>
                  <c:pt idx="0">
                    <c:v>7.2334231463744949</c:v>
                  </c:pt>
                  <c:pt idx="1">
                    <c:v>30.612528905080314</c:v>
                  </c:pt>
                  <c:pt idx="2">
                    <c:v>76.461289875497755</c:v>
                  </c:pt>
                  <c:pt idx="3">
                    <c:v>56.645851866096081</c:v>
                  </c:pt>
                </c:numCache>
              </c:numRef>
            </c:plus>
            <c:minus>
              <c:numRef>
                <c:f>Sheet1!$P$2:$P$5</c:f>
                <c:numCache>
                  <c:formatCode>General</c:formatCode>
                  <c:ptCount val="4"/>
                  <c:pt idx="0">
                    <c:v>7.2334231463744949</c:v>
                  </c:pt>
                  <c:pt idx="1">
                    <c:v>30.612528905080314</c:v>
                  </c:pt>
                  <c:pt idx="2">
                    <c:v>76.461289875497755</c:v>
                  </c:pt>
                  <c:pt idx="3">
                    <c:v>56.645851866096081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Sheet1!$N$2:$N$5</c:f>
              <c:strCache>
                <c:ptCount val="4"/>
                <c:pt idx="0">
                  <c:v> Experimental drug</c:v>
                </c:pt>
                <c:pt idx="1">
                  <c:v> Positive Control  1</c:v>
                </c:pt>
                <c:pt idx="2">
                  <c:v>Positive Control 2</c:v>
                </c:pt>
                <c:pt idx="3">
                  <c:v>positive control 3</c:v>
                </c:pt>
              </c:strCache>
            </c:strRef>
          </c:cat>
          <c:val>
            <c:numRef>
              <c:f>Sheet1!$O$2:$O$5</c:f>
              <c:numCache>
                <c:formatCode>General</c:formatCode>
                <c:ptCount val="4"/>
                <c:pt idx="0">
                  <c:v>-28.071875333333335</c:v>
                </c:pt>
                <c:pt idx="1">
                  <c:v>-67.538704333333328</c:v>
                </c:pt>
                <c:pt idx="2">
                  <c:v>-119.50140066666665</c:v>
                </c:pt>
                <c:pt idx="3">
                  <c:v>-95.271010333333336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2-4004-ABFF-6066241A0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652600"/>
        <c:axId val="573653680"/>
      </c:barChart>
      <c:catAx>
        <c:axId val="57365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53680"/>
        <c:crosses val="autoZero"/>
        <c:auto val="1"/>
        <c:lblAlgn val="ctr"/>
        <c:lblOffset val="100"/>
        <c:noMultiLvlLbl val="0"/>
      </c:catAx>
      <c:valAx>
        <c:axId val="5736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5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167640</xdr:colOff>
      <xdr:row>12</xdr:row>
      <xdr:rowOff>91440</xdr:rowOff>
    </xdr:from>
    <xdr:to>
      <xdr:col>21</xdr:col>
      <xdr:colOff>22860</xdr:colOff>
      <xdr:row>32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E06700-1E73-909A-5968-754153C09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C8A8-6F5C-47A5-AA3E-289EA87F8D0B}">
  <dimension ref="A1:P34"/>
  <sheetViews>
    <sheetView tabSelected="1" workbookViewId="0">
      <selection activeCell="N5" sqref="N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4</v>
      </c>
      <c r="D1" t="s">
        <v>1</v>
      </c>
      <c r="E1" t="s">
        <v>1</v>
      </c>
      <c r="N1" t="s">
        <v>20</v>
      </c>
      <c r="O1" t="s">
        <v>2</v>
      </c>
      <c r="P1" t="s">
        <v>19</v>
      </c>
    </row>
    <row r="2" spans="1:16" x14ac:dyDescent="0.3">
      <c r="A2">
        <v>1</v>
      </c>
      <c r="B2">
        <v>-33.212890999999999</v>
      </c>
      <c r="C2">
        <v>-32.212890999999999</v>
      </c>
      <c r="D2">
        <v>-31.212890999999999</v>
      </c>
      <c r="E2">
        <v>-30.212890999999999</v>
      </c>
      <c r="H2" t="s">
        <v>5</v>
      </c>
      <c r="N2" t="s">
        <v>31</v>
      </c>
      <c r="O2">
        <f>B6</f>
        <v>-28.071875333333335</v>
      </c>
      <c r="P2">
        <f>B7</f>
        <v>7.2334231463744949</v>
      </c>
    </row>
    <row r="3" spans="1:16" ht="15" thickBot="1" x14ac:dyDescent="0.35">
      <c r="A3">
        <v>2</v>
      </c>
      <c r="B3">
        <v>-31.202234000000001</v>
      </c>
      <c r="C3">
        <v>-86.293448999999995</v>
      </c>
      <c r="D3">
        <v>-164.07361</v>
      </c>
      <c r="E3">
        <v>-133.659538</v>
      </c>
      <c r="N3" t="s">
        <v>17</v>
      </c>
      <c r="O3">
        <f>C6</f>
        <v>-67.538704333333328</v>
      </c>
      <c r="P3">
        <f>C7</f>
        <v>30.612528905080314</v>
      </c>
    </row>
    <row r="4" spans="1:16" x14ac:dyDescent="0.3">
      <c r="A4">
        <v>3</v>
      </c>
      <c r="B4">
        <v>-19.800501000000001</v>
      </c>
      <c r="C4">
        <v>-84.109773000000004</v>
      </c>
      <c r="D4">
        <v>-163.21770100000001</v>
      </c>
      <c r="E4">
        <v>-121.940602</v>
      </c>
      <c r="H4" s="2"/>
      <c r="I4" s="2" t="s">
        <v>6</v>
      </c>
      <c r="J4" s="2" t="s">
        <v>7</v>
      </c>
      <c r="N4" t="s">
        <v>18</v>
      </c>
      <c r="O4">
        <f>D6</f>
        <v>-119.50140066666665</v>
      </c>
      <c r="P4">
        <f>D7</f>
        <v>76.461289875497755</v>
      </c>
    </row>
    <row r="5" spans="1:16" x14ac:dyDescent="0.3">
      <c r="H5" t="s">
        <v>2</v>
      </c>
      <c r="I5">
        <v>-28.071875333333335</v>
      </c>
      <c r="J5">
        <v>-85.699978999999999</v>
      </c>
      <c r="N5" t="s">
        <v>30</v>
      </c>
      <c r="O5">
        <f>E6</f>
        <v>-95.271010333333336</v>
      </c>
      <c r="P5">
        <f>E7</f>
        <v>56.645851866096081</v>
      </c>
    </row>
    <row r="6" spans="1:16" x14ac:dyDescent="0.3">
      <c r="A6" t="s">
        <v>2</v>
      </c>
      <c r="B6">
        <f>AVERAGE(B2:B4)</f>
        <v>-28.071875333333335</v>
      </c>
      <c r="C6">
        <f t="shared" ref="C6:E6" si="0">AVERAGE(C2:C4)</f>
        <v>-67.538704333333328</v>
      </c>
      <c r="D6">
        <f t="shared" si="0"/>
        <v>-119.50140066666665</v>
      </c>
      <c r="E6">
        <f t="shared" si="0"/>
        <v>-95.271010333333336</v>
      </c>
      <c r="H6" t="s">
        <v>8</v>
      </c>
      <c r="I6">
        <v>52.322410414506294</v>
      </c>
      <c r="J6">
        <v>1.9372222085159883</v>
      </c>
    </row>
    <row r="7" spans="1:16" x14ac:dyDescent="0.3">
      <c r="A7" t="s">
        <v>3</v>
      </c>
      <c r="B7">
        <f>_xlfn.STDEV.S(B2:B4)</f>
        <v>7.2334231463744949</v>
      </c>
      <c r="C7">
        <f>_xlfn.STDEV.S(C2:C4)</f>
        <v>30.612528905080314</v>
      </c>
      <c r="D7">
        <f>_xlfn.STDEV.S(D2:D4)</f>
        <v>76.461289875497755</v>
      </c>
      <c r="E7">
        <f>_xlfn.STDEV.S(E2:E4)</f>
        <v>56.645851866096081</v>
      </c>
      <c r="H7" t="s">
        <v>9</v>
      </c>
      <c r="I7">
        <v>3</v>
      </c>
      <c r="J7">
        <v>3</v>
      </c>
    </row>
    <row r="8" spans="1:16" x14ac:dyDescent="0.3">
      <c r="E8" t="s">
        <v>4</v>
      </c>
      <c r="H8" t="s">
        <v>10</v>
      </c>
      <c r="I8">
        <v>0</v>
      </c>
    </row>
    <row r="9" spans="1:16" x14ac:dyDescent="0.3">
      <c r="H9" t="s">
        <v>11</v>
      </c>
      <c r="I9">
        <v>2</v>
      </c>
    </row>
    <row r="10" spans="1:16" x14ac:dyDescent="0.3">
      <c r="H10" t="s">
        <v>12</v>
      </c>
      <c r="I10">
        <v>13.550537787610855</v>
      </c>
    </row>
    <row r="11" spans="1:16" x14ac:dyDescent="0.3">
      <c r="H11" t="s">
        <v>13</v>
      </c>
      <c r="I11">
        <v>2.7010131799871714E-3</v>
      </c>
    </row>
    <row r="12" spans="1:16" x14ac:dyDescent="0.3">
      <c r="H12" t="s">
        <v>5</v>
      </c>
    </row>
    <row r="13" spans="1:16" ht="15" thickBot="1" x14ac:dyDescent="0.35">
      <c r="A13" t="s">
        <v>21</v>
      </c>
      <c r="B13" t="s">
        <v>22</v>
      </c>
      <c r="C13" t="s">
        <v>26</v>
      </c>
    </row>
    <row r="14" spans="1:16" x14ac:dyDescent="0.3">
      <c r="A14" t="s">
        <v>23</v>
      </c>
      <c r="B14">
        <v>2E-3</v>
      </c>
      <c r="C14" t="s">
        <v>27</v>
      </c>
      <c r="H14" s="2"/>
      <c r="I14" s="2" t="s">
        <v>6</v>
      </c>
      <c r="J14" s="2" t="s">
        <v>7</v>
      </c>
    </row>
    <row r="15" spans="1:16" x14ac:dyDescent="0.3">
      <c r="A15" t="s">
        <v>24</v>
      </c>
      <c r="B15">
        <v>1.0000000000000001E-5</v>
      </c>
      <c r="C15" t="s">
        <v>28</v>
      </c>
      <c r="H15" t="s">
        <v>2</v>
      </c>
      <c r="I15">
        <v>-28.071875333333335</v>
      </c>
      <c r="J15">
        <v>-168.31635400000002</v>
      </c>
    </row>
    <row r="16" spans="1:16" x14ac:dyDescent="0.3">
      <c r="A16" t="s">
        <v>25</v>
      </c>
      <c r="B16">
        <v>6.9999999999999994E-5</v>
      </c>
      <c r="C16" t="s">
        <v>28</v>
      </c>
      <c r="H16" t="s">
        <v>8</v>
      </c>
      <c r="I16">
        <v>52.322410414506294</v>
      </c>
      <c r="J16">
        <v>65.629418487776874</v>
      </c>
    </row>
    <row r="17" spans="8:13" x14ac:dyDescent="0.3">
      <c r="H17" t="s">
        <v>9</v>
      </c>
      <c r="I17">
        <v>3</v>
      </c>
      <c r="J17">
        <v>3</v>
      </c>
      <c r="M17" t="s">
        <v>29</v>
      </c>
    </row>
    <row r="18" spans="8:13" x14ac:dyDescent="0.3">
      <c r="H18" t="s">
        <v>10</v>
      </c>
      <c r="I18">
        <v>0</v>
      </c>
    </row>
    <row r="19" spans="8:13" x14ac:dyDescent="0.3">
      <c r="H19" t="s">
        <v>11</v>
      </c>
      <c r="I19">
        <v>4</v>
      </c>
    </row>
    <row r="20" spans="8:13" x14ac:dyDescent="0.3">
      <c r="H20" t="s">
        <v>12</v>
      </c>
      <c r="I20">
        <v>22.366295587039978</v>
      </c>
    </row>
    <row r="21" spans="8:13" x14ac:dyDescent="0.3">
      <c r="H21" t="s">
        <v>13</v>
      </c>
      <c r="I21">
        <v>1.1829854097218656E-5</v>
      </c>
    </row>
    <row r="22" spans="8:13" x14ac:dyDescent="0.3">
      <c r="H22" t="s">
        <v>5</v>
      </c>
    </row>
    <row r="23" spans="8:13" ht="15" thickBot="1" x14ac:dyDescent="0.35"/>
    <row r="24" spans="8:13" x14ac:dyDescent="0.3">
      <c r="H24" s="2"/>
      <c r="I24" s="2" t="s">
        <v>6</v>
      </c>
      <c r="J24" s="2" t="s">
        <v>7</v>
      </c>
    </row>
    <row r="25" spans="8:13" x14ac:dyDescent="0.3">
      <c r="H25" t="s">
        <v>2</v>
      </c>
      <c r="I25">
        <v>-28.071875333333335</v>
      </c>
      <c r="J25">
        <v>-130.58766800000001</v>
      </c>
    </row>
    <row r="26" spans="8:13" x14ac:dyDescent="0.3">
      <c r="H26" t="s">
        <v>8</v>
      </c>
      <c r="I26">
        <v>52.322410414506294</v>
      </c>
      <c r="J26">
        <v>57.645473071836079</v>
      </c>
    </row>
    <row r="27" spans="8:13" x14ac:dyDescent="0.3">
      <c r="H27" t="s">
        <v>9</v>
      </c>
      <c r="I27">
        <v>3</v>
      </c>
      <c r="J27">
        <v>3</v>
      </c>
    </row>
    <row r="28" spans="8:13" x14ac:dyDescent="0.3">
      <c r="H28" t="s">
        <v>10</v>
      </c>
      <c r="I28">
        <v>0</v>
      </c>
    </row>
    <row r="29" spans="8:13" x14ac:dyDescent="0.3">
      <c r="H29" t="s">
        <v>11</v>
      </c>
      <c r="I29">
        <v>4</v>
      </c>
    </row>
    <row r="30" spans="8:13" x14ac:dyDescent="0.3">
      <c r="H30" t="s">
        <v>12</v>
      </c>
      <c r="I30">
        <v>16.932398004114376</v>
      </c>
    </row>
    <row r="31" spans="8:13" x14ac:dyDescent="0.3">
      <c r="H31" t="s">
        <v>13</v>
      </c>
      <c r="I31">
        <v>3.5662829661360695E-5</v>
      </c>
    </row>
    <row r="32" spans="8:13" x14ac:dyDescent="0.3">
      <c r="H32" t="s">
        <v>14</v>
      </c>
      <c r="I32">
        <v>2.1318467863266499</v>
      </c>
    </row>
    <row r="33" spans="8:10" x14ac:dyDescent="0.3">
      <c r="H33" t="s">
        <v>15</v>
      </c>
      <c r="I33">
        <v>7.1325659322721391E-5</v>
      </c>
    </row>
    <row r="34" spans="8:10" ht="15" thickBot="1" x14ac:dyDescent="0.35">
      <c r="H34" s="1" t="s">
        <v>16</v>
      </c>
      <c r="I34" s="1">
        <v>2.7764451051977934</v>
      </c>
      <c r="J3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Apeksha Kishore</dc:creator>
  <cp:lastModifiedBy>Apeksha Kishore</cp:lastModifiedBy>
  <dcterms:created xsi:type="dcterms:W3CDTF">2026-02-14T19:30:59Z</dcterms:created>
  <dcterms:modified xsi:type="dcterms:W3CDTF">2026-03-16T07:26:40Z</dcterms:modified>
</cp:coreProperties>
</file>